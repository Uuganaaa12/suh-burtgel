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1 Backlog" sheetId="2" state="visible" r:id="rId2"/>
    <sheet xmlns:r="http://schemas.openxmlformats.org/officeDocument/2006/relationships" name="Kanban (дасгал)" sheetId="3" state="visible" r:id="rId3"/>
    <sheet xmlns:r="http://schemas.openxmlformats.org/officeDocument/2006/relationships" name="Kanban (Sprint 1)" sheetId="4" state="visible" r:id="rId4"/>
  </sheets>
  <definedNames>
    <definedName name="_xlnm._FilterDatabase" localSheetId="0" hidden="1">'Product Backlog'!$A$1:$I$16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5FA8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9D0DA"/>
      </left>
      <right style="thin">
        <color rgb="00C9D0DA"/>
      </right>
      <top style="thin">
        <color rgb="00C9D0DA"/>
      </top>
      <bottom style="thin">
        <color rgb="00C9D0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52" customWidth="1" min="3" max="3"/>
    <col width="14" customWidth="1" min="4" max="4"/>
    <col width="10" customWidth="1" min="5" max="5"/>
    <col width="12" customWidth="1" min="6" max="6"/>
    <col width="10" customWidth="1" min="7" max="7"/>
    <col width="10" customWidth="1" min="8" max="8"/>
    <col width="26" customWidth="1" min="9" max="9"/>
  </cols>
  <sheetData>
    <row r="1" ht="26" customHeight="1">
      <c r="A1" s="1" t="inlineStr">
        <is>
          <t>ID</t>
        </is>
      </c>
      <c r="B1" s="1" t="inlineStr">
        <is>
          <t>User Story</t>
        </is>
      </c>
      <c r="C1" s="1" t="inlineStr">
        <is>
          <t>Монгол тайлбар</t>
        </is>
      </c>
      <c r="D1" s="1" t="inlineStr">
        <is>
          <t>Юзкейс</t>
        </is>
      </c>
      <c r="E1" s="1" t="inlineStr">
        <is>
          <t>Priority</t>
        </is>
      </c>
      <c r="F1" s="1" t="inlineStr">
        <is>
          <t>Story Point</t>
        </is>
      </c>
      <c r="G1" s="1" t="inlineStr">
        <is>
          <t>Sprint</t>
        </is>
      </c>
      <c r="H1" s="1" t="inlineStr">
        <is>
          <t>Status</t>
        </is>
      </c>
      <c r="I1" s="1" t="inlineStr">
        <is>
          <t>Notes</t>
        </is>
      </c>
    </row>
    <row r="2" ht="42" customHeight="1">
      <c r="A2" s="2" t="inlineStr">
        <is>
          <t>US-01</t>
        </is>
      </c>
      <c r="B2" s="3" t="inlineStr">
        <is>
          <t>As a resident, I want to log in with my Gmail (Google) account, so that only I can see my own apartment data.</t>
        </is>
      </c>
      <c r="C2" s="3" t="inlineStr">
        <is>
          <t>Оршин суугч Gmail бүртгэлээрээ нэвтэрч, зөвхөн өөрийн сууцны мэдээллийг харна.</t>
        </is>
      </c>
      <c r="D2" s="2" t="inlineStr">
        <is>
          <t>Өмнөх нөхцөл</t>
        </is>
      </c>
      <c r="E2" s="4" t="inlineStr">
        <is>
          <t>High</t>
        </is>
      </c>
      <c r="F2" s="2" t="n">
        <v>3</v>
      </c>
      <c r="G2" s="2" t="inlineStr">
        <is>
          <t>Sprint 1</t>
        </is>
      </c>
      <c r="H2" s="2" t="inlineStr">
        <is>
          <t>To do</t>
        </is>
      </c>
      <c r="I2" s="3" t="inlineStr">
        <is>
          <t>Must have</t>
        </is>
      </c>
    </row>
    <row r="3" ht="42" customHeight="1">
      <c r="A3" s="2" t="inlineStr">
        <is>
          <t>US-02</t>
        </is>
      </c>
      <c r="B3" s="3" t="inlineStr">
        <is>
          <t>As a manager, I want to register an apartment together with its resident, so that every unit has one responsible contact.</t>
        </is>
      </c>
      <c r="C3" s="3" t="inlineStr">
        <is>
          <t>Менежер сууцыг оршин суугчийнх нь хамт бүртгэнэ.</t>
        </is>
      </c>
      <c r="D3" s="2" t="inlineStr">
        <is>
          <t>UC-01</t>
        </is>
      </c>
      <c r="E3" s="4" t="inlineStr">
        <is>
          <t>High</t>
        </is>
      </c>
      <c r="F3" s="2" t="n">
        <v>5</v>
      </c>
      <c r="G3" s="2" t="inlineStr">
        <is>
          <t>Sprint 1</t>
        </is>
      </c>
      <c r="H3" s="2" t="inlineStr">
        <is>
          <t>To do</t>
        </is>
      </c>
      <c r="I3" s="3" t="inlineStr">
        <is>
          <t>Must have</t>
        </is>
      </c>
    </row>
    <row r="4" ht="42" customHeight="1">
      <c r="A4" s="2" t="inlineStr">
        <is>
          <t>US-03</t>
        </is>
      </c>
      <c r="B4" s="3" t="inlineStr">
        <is>
          <t>As a manager, I want to register each parking space with its ownership type, so that only common-property spaces go into the queue.</t>
        </is>
      </c>
      <c r="C4" s="3" t="inlineStr">
        <is>
          <t>Менежер зогсоол бүрийг өмчлөлийн төрөлтэй нь бүртгэж, зөвхөн дундын өмчлөлийнхийг дараалалд оруулна.</t>
        </is>
      </c>
      <c r="D4" s="2" t="inlineStr">
        <is>
          <t>UC-02</t>
        </is>
      </c>
      <c r="E4" s="4" t="inlineStr">
        <is>
          <t>High</t>
        </is>
      </c>
      <c r="F4" s="2" t="n">
        <v>3</v>
      </c>
      <c r="G4" s="2" t="inlineStr">
        <is>
          <t>Sprint 1</t>
        </is>
      </c>
      <c r="H4" s="2" t="inlineStr">
        <is>
          <t>To do</t>
        </is>
      </c>
      <c r="I4" s="3" t="inlineStr">
        <is>
          <t>Must have</t>
        </is>
      </c>
    </row>
    <row r="5" ht="42" customHeight="1">
      <c r="A5" s="2" t="inlineStr">
        <is>
          <t>US-04</t>
        </is>
      </c>
      <c r="B5" s="3" t="inlineStr">
        <is>
          <t>As a resident, I want to register my car with its plate number, so that it can be checked and approved.</t>
        </is>
      </c>
      <c r="C5" s="3" t="inlineStr">
        <is>
          <t>Оршин суугч машинаа улсын дугаараар бүртгүүлнэ.</t>
        </is>
      </c>
      <c r="D5" s="2" t="inlineStr">
        <is>
          <t>UC-03</t>
        </is>
      </c>
      <c r="E5" s="4" t="inlineStr">
        <is>
          <t>High</t>
        </is>
      </c>
      <c r="F5" s="2" t="n">
        <v>3</v>
      </c>
      <c r="G5" s="2" t="inlineStr">
        <is>
          <t>Sprint 1</t>
        </is>
      </c>
      <c r="H5" s="2" t="inlineStr">
        <is>
          <t>To do</t>
        </is>
      </c>
      <c r="I5" s="3" t="inlineStr">
        <is>
          <t>Must have</t>
        </is>
      </c>
    </row>
    <row r="6" ht="42" customHeight="1">
      <c r="A6" s="2" t="inlineStr">
        <is>
          <t>US-05</t>
        </is>
      </c>
      <c r="B6" s="3" t="inlineStr">
        <is>
          <t>As a manager, I want to approve or reject a registered car with a reason, so that only checked cars can rent a space.</t>
        </is>
      </c>
      <c r="C6" s="3" t="inlineStr">
        <is>
          <t>Менежер бүртгүүлсэн машиныг батална эсвэл шалтгаан бичиж татгалзана.</t>
        </is>
      </c>
      <c r="D6" s="2" t="inlineStr">
        <is>
          <t>UC-04</t>
        </is>
      </c>
      <c r="E6" s="4" t="inlineStr">
        <is>
          <t>High</t>
        </is>
      </c>
      <c r="F6" s="2" t="n">
        <v>2</v>
      </c>
      <c r="G6" s="2" t="inlineStr">
        <is>
          <t>Sprint 1</t>
        </is>
      </c>
      <c r="H6" s="2" t="inlineStr">
        <is>
          <t>To do</t>
        </is>
      </c>
      <c r="I6" s="3" t="inlineStr">
        <is>
          <t>Must have</t>
        </is>
      </c>
    </row>
    <row r="7" ht="42" customHeight="1">
      <c r="A7" s="2" t="inlineStr">
        <is>
          <t>US-06</t>
        </is>
      </c>
      <c r="B7" s="3" t="inlineStr">
        <is>
          <t>As a resident, I want to request a parking space for a chosen period, so that I can park in the yard of my building.</t>
        </is>
      </c>
      <c r="C7" s="3" t="inlineStr">
        <is>
          <t>Оршин суугч сонгосон хугацаагаар зогсоолын түрээсийн хүсэлт илгээнэ.</t>
        </is>
      </c>
      <c r="D7" s="2" t="inlineStr">
        <is>
          <t>UC-05</t>
        </is>
      </c>
      <c r="E7" s="4" t="inlineStr">
        <is>
          <t>High</t>
        </is>
      </c>
      <c r="F7" s="2" t="n">
        <v>5</v>
      </c>
      <c r="G7" s="2" t="inlineStr">
        <is>
          <t>Sprint 1</t>
        </is>
      </c>
      <c r="H7" s="2" t="inlineStr">
        <is>
          <t>To do</t>
        </is>
      </c>
      <c r="I7" s="3" t="inlineStr">
        <is>
          <t>Must have</t>
        </is>
      </c>
    </row>
    <row r="8" ht="42" customHeight="1">
      <c r="A8" s="2" t="inlineStr">
        <is>
          <t>US-07</t>
        </is>
      </c>
      <c r="B8" s="3" t="inlineStr">
        <is>
          <t>As a resident, I want to see my position in the waiting list, so that I know when my turn comes.</t>
        </is>
      </c>
      <c r="C8" s="3" t="inlineStr">
        <is>
          <t>Оршин суугч хүлээлгийн жагсаалтад хэддүгээрт байгаагаа харна.</t>
        </is>
      </c>
      <c r="D8" s="2" t="inlineStr">
        <is>
          <t>UC-05</t>
        </is>
      </c>
      <c r="E8" s="4" t="inlineStr">
        <is>
          <t>High</t>
        </is>
      </c>
      <c r="F8" s="2" t="n">
        <v>1</v>
      </c>
      <c r="G8" s="2" t="inlineStr">
        <is>
          <t>Sprint 1</t>
        </is>
      </c>
      <c r="H8" s="2" t="inlineStr">
        <is>
          <t>To do</t>
        </is>
      </c>
      <c r="I8" s="3" t="inlineStr">
        <is>
          <t>Must have. Үнэлгээний суурь story</t>
        </is>
      </c>
    </row>
    <row r="9" ht="42" customHeight="1">
      <c r="A9" s="2" t="inlineStr">
        <is>
          <t>US-08</t>
        </is>
      </c>
      <c r="B9" s="3" t="inlineStr">
        <is>
          <t>As a resident, I want to see the whole waiting list, so that I can check the order is kept.</t>
        </is>
      </c>
      <c r="C9" s="3" t="inlineStr">
        <is>
          <t>Оршин суугч бүх хүлээлгийн жагсаалтыг хараад дарааллыг шалгана.</t>
        </is>
      </c>
      <c r="D9" s="2" t="inlineStr">
        <is>
          <t>UC-05</t>
        </is>
      </c>
      <c r="E9" s="2" t="inlineStr">
        <is>
          <t>Medium</t>
        </is>
      </c>
      <c r="F9" s="2" t="n">
        <v>2</v>
      </c>
      <c r="G9" s="2" t="inlineStr"/>
      <c r="H9" s="2" t="inlineStr">
        <is>
          <t>To do</t>
        </is>
      </c>
      <c r="I9" s="3" t="inlineStr">
        <is>
          <t>Should have</t>
        </is>
      </c>
    </row>
    <row r="10" ht="42" customHeight="1">
      <c r="A10" s="2" t="inlineStr">
        <is>
          <t>US-09</t>
        </is>
      </c>
      <c r="B10" s="3" t="inlineStr">
        <is>
          <t>As a resident with no parking space, I want first-car requests to come before additional-car requests, so that every apartment gets one space before anyone gets two.</t>
        </is>
      </c>
      <c r="C10" s="3" t="inlineStr">
        <is>
          <t>Зогсоолгүй оршин суугчийн хувьд нэг дэх машины хүсэлт нэмэлт машины хүсэлтээс түрүүлнэ.</t>
        </is>
      </c>
      <c r="D10" s="2" t="inlineStr">
        <is>
          <t>UC-05, UC-06</t>
        </is>
      </c>
      <c r="E10" s="4" t="inlineStr">
        <is>
          <t>High</t>
        </is>
      </c>
      <c r="F10" s="2" t="n">
        <v>3</v>
      </c>
      <c r="G10" s="2" t="inlineStr"/>
      <c r="H10" s="2" t="inlineStr">
        <is>
          <t>Хасагдсан</t>
        </is>
      </c>
      <c r="I10" s="3" t="inlineStr">
        <is>
          <t>Won't have</t>
        </is>
      </c>
    </row>
    <row r="11" ht="42" customHeight="1">
      <c r="A11" s="2" t="inlineStr">
        <is>
          <t>US-10</t>
        </is>
      </c>
      <c r="B11" s="3" t="inlineStr">
        <is>
          <t>As a manager, I want to allocate a free space to the first request in the queue, so that the lease starts on the agreed date.</t>
        </is>
      </c>
      <c r="C11" s="3" t="inlineStr">
        <is>
          <t>Менежер сул зогсоолыг дарааллын эхний хүсэлтэд олгоно.</t>
        </is>
      </c>
      <c r="D11" s="2" t="inlineStr">
        <is>
          <t>UC-06</t>
        </is>
      </c>
      <c r="E11" s="4" t="inlineStr">
        <is>
          <t>High</t>
        </is>
      </c>
      <c r="F11" s="2" t="n">
        <v>5</v>
      </c>
      <c r="G11" s="2" t="inlineStr"/>
      <c r="H11" s="2" t="inlineStr">
        <is>
          <t>To do</t>
        </is>
      </c>
      <c r="I11" s="3" t="inlineStr">
        <is>
          <t>Must have</t>
        </is>
      </c>
    </row>
    <row r="12" ht="42" customHeight="1">
      <c r="A12" s="2" t="inlineStr">
        <is>
          <t>US-11</t>
        </is>
      </c>
      <c r="B12" s="3" t="inlineStr">
        <is>
          <t>As a resident, I want every out-of-order allocation to be recorded with its reason, manager and date, so that the decision can be checked later.</t>
        </is>
      </c>
      <c r="C12" s="3" t="inlineStr">
        <is>
          <t>Дарааллаас гадуур олгосон зогсоол бүрийг шалтгаан, шийдвэр гаргасан менежер, огнооных нь хамт бүртгэж, бүх оршин суугчдад харуулна.</t>
        </is>
      </c>
      <c r="D12" s="2" t="inlineStr">
        <is>
          <t>UC-06</t>
        </is>
      </c>
      <c r="E12" s="2" t="inlineStr">
        <is>
          <t>Medium</t>
        </is>
      </c>
      <c r="F12" s="2" t="n">
        <v>3</v>
      </c>
      <c r="G12" s="2" t="inlineStr"/>
      <c r="H12" s="2" t="inlineStr">
        <is>
          <t>Хасагдсан</t>
        </is>
      </c>
      <c r="I12" s="3" t="inlineStr">
        <is>
          <t>Won't have</t>
        </is>
      </c>
    </row>
    <row r="13" ht="42" customHeight="1">
      <c r="A13" s="2" t="inlineStr">
        <is>
          <t>US-12</t>
        </is>
      </c>
      <c r="B13" s="3" t="inlineStr">
        <is>
          <t>As a manager, I want the system to create monthly invoices for every apartment, so that residents know what to pay.</t>
        </is>
      </c>
      <c r="C13" s="3" t="inlineStr">
        <is>
          <t>Менежер сар бүр сууц тус бүрд нэхэмжлэх үүсгэнэ.</t>
        </is>
      </c>
      <c r="D13" s="2" t="inlineStr">
        <is>
          <t>UC-07</t>
        </is>
      </c>
      <c r="E13" s="4" t="inlineStr">
        <is>
          <t>High</t>
        </is>
      </c>
      <c r="F13" s="2" t="n">
        <v>8</v>
      </c>
      <c r="G13" s="2" t="inlineStr"/>
      <c r="H13" s="2" t="inlineStr">
        <is>
          <t>To do</t>
        </is>
      </c>
      <c r="I13" s="3" t="inlineStr">
        <is>
          <t>Must have</t>
        </is>
      </c>
    </row>
    <row r="14" ht="42" customHeight="1">
      <c r="A14" s="2" t="inlineStr">
        <is>
          <t>US-13</t>
        </is>
      </c>
      <c r="B14" s="3" t="inlineStr">
        <is>
          <t>As a resident, I want to see my invoices, including any late fee, and my payment history, so that I know how much to pay in my bank app.</t>
        </is>
      </c>
      <c r="C14" s="3" t="inlineStr">
        <is>
          <t>Оршин суугч сууцныхаа нэхэмжлэхийн төлөв, задаргаа, төлбөрийн түүх, банкны аппад оруулах сууцны кодыг харна. Хугацаа хэтэрсэн нэхэмжлэхэд систем алданги бодож нэмнэ.</t>
        </is>
      </c>
      <c r="D14" s="2" t="inlineStr">
        <is>
          <t>UC-08</t>
        </is>
      </c>
      <c r="E14" s="4" t="inlineStr">
        <is>
          <t>High</t>
        </is>
      </c>
      <c r="F14" s="2" t="n">
        <v>5</v>
      </c>
      <c r="G14" s="2" t="inlineStr"/>
      <c r="H14" s="2" t="inlineStr">
        <is>
          <t>To do</t>
        </is>
      </c>
      <c r="I14" s="3" t="inlineStr">
        <is>
          <t>Must have</t>
        </is>
      </c>
    </row>
    <row r="15" ht="42" customHeight="1">
      <c r="A15" s="2" t="inlineStr">
        <is>
          <t>US-14</t>
        </is>
      </c>
      <c r="B15" s="3" t="inlineStr">
        <is>
          <t>As a manager, I want payments that residents make in their bank app to be recorded automatically, so that I do not have to match payments by hand.</t>
        </is>
      </c>
      <c r="C15" s="3" t="inlineStr">
        <is>
          <t>Систем төлөгдөөгүй нэхэмжлэхийн дүнг сууцны кодоор банкны аппад харуулж, банкны апп төлбөр төлөгдсөнийг мэдэгдэхэд нэхэмжлэхийг төлөгдсөн болгон баримт үүсгэнэ.</t>
        </is>
      </c>
      <c r="D15" s="2" t="inlineStr">
        <is>
          <t>UC-10</t>
        </is>
      </c>
      <c r="E15" s="2" t="inlineStr">
        <is>
          <t>High</t>
        </is>
      </c>
      <c r="F15" s="2" t="n">
        <v>5</v>
      </c>
      <c r="G15" s="2" t="inlineStr"/>
      <c r="H15" s="2" t="inlineStr">
        <is>
          <t>To do</t>
        </is>
      </c>
      <c r="I15" s="3" t="inlineStr">
        <is>
          <t>Must have</t>
        </is>
      </c>
    </row>
    <row r="16" ht="42" customHeight="1">
      <c r="A16" s="2" t="inlineStr">
        <is>
          <t>US-15</t>
        </is>
      </c>
      <c r="B16" s="3" t="inlineStr">
        <is>
          <t>As a manager, I want to export a report for a chosen period to Excel, so that I can present it at the owners' meeting.</t>
        </is>
      </c>
      <c r="C16" s="3" t="inlineStr">
        <is>
          <t>Менежер сонгосон хугацааны тайланг Excel файлаар татна.</t>
        </is>
      </c>
      <c r="D16" s="2" t="inlineStr">
        <is>
          <t>UC-09</t>
        </is>
      </c>
      <c r="E16" s="2" t="inlineStr">
        <is>
          <t>Medium</t>
        </is>
      </c>
      <c r="F16" s="2" t="n">
        <v>5</v>
      </c>
      <c r="G16" s="2" t="inlineStr"/>
      <c r="H16" s="2" t="inlineStr">
        <is>
          <t>To do</t>
        </is>
      </c>
      <c r="I16" s="3" t="inlineStr">
        <is>
          <t>Could have</t>
        </is>
      </c>
    </row>
    <row r="17">
      <c r="E17" s="5" t="inlineStr">
        <is>
          <t>Нийт</t>
        </is>
      </c>
      <c r="F17" s="6">
        <f>SUM(F2:F16)</f>
        <v/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52" customWidth="1" min="3" max="3"/>
    <col width="14" customWidth="1" min="4" max="4"/>
    <col width="10" customWidth="1" min="5" max="5"/>
    <col width="12" customWidth="1" min="6" max="6"/>
    <col width="12" customWidth="1" min="7" max="7"/>
  </cols>
  <sheetData>
    <row r="1">
      <c r="A1" s="7" t="inlineStr">
        <is>
          <t>Sprint 1</t>
        </is>
      </c>
    </row>
    <row r="2" ht="32" customHeight="1">
      <c r="A2" s="8" t="inlineStr">
        <is>
          <t>Sprint зорилго:</t>
        </is>
      </c>
      <c r="B2" s="9" t="inlineStr">
        <is>
          <t>Сууц, зогсоол, машины бүртгэлийг ажиллуулж, оршин суугч зогсоолын хүсэлтээ илгээгээд дарааллаа хардаг болгох.</t>
        </is>
      </c>
    </row>
    <row r="3">
      <c r="A3" s="8" t="inlineStr">
        <is>
          <t>Хугацаа</t>
        </is>
      </c>
      <c r="B3" t="inlineStr">
        <is>
          <t>2 долоо хоног, 10 ажлын өдөр</t>
        </is>
      </c>
    </row>
    <row r="4">
      <c r="A4" s="8" t="inlineStr">
        <is>
          <t>Багийн хүн</t>
        </is>
      </c>
      <c r="B4" t="n">
        <v>2</v>
      </c>
    </row>
    <row r="5">
      <c r="A5" s="8" t="inlineStr">
        <is>
          <t>Өдрийн ажлын цаг</t>
        </is>
      </c>
      <c r="B5" t="inlineStr">
        <is>
          <t>2 цаг</t>
        </is>
      </c>
    </row>
    <row r="6">
      <c r="A6" s="8" t="inlineStr">
        <is>
          <t>Ашигтай цагийн коэффициент</t>
        </is>
      </c>
      <c r="B6" t="n">
        <v>0.6</v>
      </c>
    </row>
    <row r="7">
      <c r="A7" s="8" t="inlineStr">
        <is>
          <t>Хүчин чадал</t>
        </is>
      </c>
      <c r="B7" t="inlineStr">
        <is>
          <t>(2 × 2) × 10 × 0.6 = 24 SP</t>
        </is>
      </c>
    </row>
    <row r="9" ht="26" customHeight="1">
      <c r="A9" s="1" t="inlineStr">
        <is>
          <t>ID</t>
        </is>
      </c>
      <c r="B9" s="1" t="inlineStr">
        <is>
          <t>User Story</t>
        </is>
      </c>
      <c r="C9" s="1" t="inlineStr">
        <is>
          <t>Монгол тайлбар</t>
        </is>
      </c>
      <c r="D9" s="1" t="inlineStr">
        <is>
          <t>Юзкейс</t>
        </is>
      </c>
      <c r="E9" s="1" t="inlineStr">
        <is>
          <t>Priority</t>
        </is>
      </c>
      <c r="F9" s="1" t="inlineStr">
        <is>
          <t>Story Point</t>
        </is>
      </c>
      <c r="G9" s="1" t="inlineStr">
        <is>
          <t>Status</t>
        </is>
      </c>
    </row>
    <row r="10" ht="42" customHeight="1">
      <c r="A10" s="2" t="inlineStr">
        <is>
          <t>US-01</t>
        </is>
      </c>
      <c r="B10" s="3" t="inlineStr">
        <is>
          <t>As a resident, I want to log in with my Gmail (Google) account, so that only I can see my own apartment data.</t>
        </is>
      </c>
      <c r="C10" s="3" t="inlineStr">
        <is>
          <t>Оршин суугч Gmail бүртгэлээрээ нэвтэрч, зөвхөн өөрийн сууцны мэдээллийг харна.</t>
        </is>
      </c>
      <c r="D10" s="2" t="inlineStr">
        <is>
          <t>Өмнөх нөхцөл</t>
        </is>
      </c>
      <c r="E10" s="2" t="inlineStr">
        <is>
          <t>High</t>
        </is>
      </c>
      <c r="F10" s="2" t="n">
        <v>3</v>
      </c>
      <c r="G10" s="2" t="inlineStr">
        <is>
          <t>To do</t>
        </is>
      </c>
    </row>
    <row r="11" ht="42" customHeight="1">
      <c r="A11" s="2" t="inlineStr">
        <is>
          <t>US-02</t>
        </is>
      </c>
      <c r="B11" s="3" t="inlineStr">
        <is>
          <t>As a manager, I want to register an apartment together with its resident, so that every unit has one responsible contact.</t>
        </is>
      </c>
      <c r="C11" s="3" t="inlineStr">
        <is>
          <t>Менежер сууцыг оршин суугчийнх нь хамт бүртгэнэ.</t>
        </is>
      </c>
      <c r="D11" s="2" t="inlineStr">
        <is>
          <t>UC-01</t>
        </is>
      </c>
      <c r="E11" s="2" t="inlineStr">
        <is>
          <t>High</t>
        </is>
      </c>
      <c r="F11" s="2" t="n">
        <v>5</v>
      </c>
      <c r="G11" s="2" t="inlineStr">
        <is>
          <t>To do</t>
        </is>
      </c>
    </row>
    <row r="12" ht="42" customHeight="1">
      <c r="A12" s="2" t="inlineStr">
        <is>
          <t>US-03</t>
        </is>
      </c>
      <c r="B12" s="3" t="inlineStr">
        <is>
          <t>As a manager, I want to register each parking space with its ownership type, so that only common-property spaces go into the queue.</t>
        </is>
      </c>
      <c r="C12" s="3" t="inlineStr">
        <is>
          <t>Менежер зогсоол бүрийг өмчлөлийн төрөлтэй нь бүртгэж, зөвхөн дундын өмчлөлийнхийг дараалалд оруулна.</t>
        </is>
      </c>
      <c r="D12" s="2" t="inlineStr">
        <is>
          <t>UC-02</t>
        </is>
      </c>
      <c r="E12" s="2" t="inlineStr">
        <is>
          <t>High</t>
        </is>
      </c>
      <c r="F12" s="2" t="n">
        <v>3</v>
      </c>
      <c r="G12" s="2" t="inlineStr">
        <is>
          <t>To do</t>
        </is>
      </c>
    </row>
    <row r="13" ht="42" customHeight="1">
      <c r="A13" s="2" t="inlineStr">
        <is>
          <t>US-04</t>
        </is>
      </c>
      <c r="B13" s="3" t="inlineStr">
        <is>
          <t>As a resident, I want to register my car with its plate number, so that it can be checked and approved.</t>
        </is>
      </c>
      <c r="C13" s="3" t="inlineStr">
        <is>
          <t>Оршин суугч машинаа улсын дугаараар бүртгүүлнэ.</t>
        </is>
      </c>
      <c r="D13" s="2" t="inlineStr">
        <is>
          <t>UC-03</t>
        </is>
      </c>
      <c r="E13" s="2" t="inlineStr">
        <is>
          <t>High</t>
        </is>
      </c>
      <c r="F13" s="2" t="n">
        <v>3</v>
      </c>
      <c r="G13" s="2" t="inlineStr">
        <is>
          <t>To do</t>
        </is>
      </c>
    </row>
    <row r="14" ht="42" customHeight="1">
      <c r="A14" s="2" t="inlineStr">
        <is>
          <t>US-05</t>
        </is>
      </c>
      <c r="B14" s="3" t="inlineStr">
        <is>
          <t>As a manager, I want to approve or reject a registered car with a reason, so that only checked cars can rent a space.</t>
        </is>
      </c>
      <c r="C14" s="3" t="inlineStr">
        <is>
          <t>Менежер бүртгүүлсэн машиныг батална эсвэл шалтгаан бичиж татгалзана.</t>
        </is>
      </c>
      <c r="D14" s="2" t="inlineStr">
        <is>
          <t>UC-04</t>
        </is>
      </c>
      <c r="E14" s="2" t="inlineStr">
        <is>
          <t>High</t>
        </is>
      </c>
      <c r="F14" s="2" t="n">
        <v>2</v>
      </c>
      <c r="G14" s="2" t="inlineStr">
        <is>
          <t>To do</t>
        </is>
      </c>
    </row>
    <row r="15" ht="42" customHeight="1">
      <c r="A15" s="2" t="inlineStr">
        <is>
          <t>US-06</t>
        </is>
      </c>
      <c r="B15" s="3" t="inlineStr">
        <is>
          <t>As a resident, I want to request a parking space for a chosen period, so that I can park in the yard of my building.</t>
        </is>
      </c>
      <c r="C15" s="3" t="inlineStr">
        <is>
          <t>Оршин суугч сонгосон хугацаагаар зогсоолын түрээсийн хүсэлт илгээнэ.</t>
        </is>
      </c>
      <c r="D15" s="2" t="inlineStr">
        <is>
          <t>UC-05</t>
        </is>
      </c>
      <c r="E15" s="2" t="inlineStr">
        <is>
          <t>High</t>
        </is>
      </c>
      <c r="F15" s="2" t="n">
        <v>5</v>
      </c>
      <c r="G15" s="2" t="inlineStr">
        <is>
          <t>To do</t>
        </is>
      </c>
    </row>
    <row r="16" ht="42" customHeight="1">
      <c r="A16" s="2" t="inlineStr">
        <is>
          <t>US-07</t>
        </is>
      </c>
      <c r="B16" s="3" t="inlineStr">
        <is>
          <t>As a resident, I want to see my position in the waiting list, so that I know when my turn comes.</t>
        </is>
      </c>
      <c r="C16" s="3" t="inlineStr">
        <is>
          <t>Оршин суугч хүлээлгийн жагсаалтад хэддүгээрт байгаагаа харна.</t>
        </is>
      </c>
      <c r="D16" s="2" t="inlineStr">
        <is>
          <t>UC-05</t>
        </is>
      </c>
      <c r="E16" s="2" t="inlineStr">
        <is>
          <t>High</t>
        </is>
      </c>
      <c r="F16" s="2" t="n">
        <v>1</v>
      </c>
      <c r="G16" s="2" t="inlineStr">
        <is>
          <t>To do</t>
        </is>
      </c>
    </row>
    <row r="17">
      <c r="E17" s="5" t="inlineStr">
        <is>
          <t>Нийт</t>
        </is>
      </c>
      <c r="F17" s="6">
        <f>SUM(F10:F16)</f>
        <v/>
      </c>
    </row>
    <row r="18">
      <c r="E18" s="5" t="inlineStr">
        <is>
          <t>Хүчин чадал</t>
        </is>
      </c>
      <c r="F18" s="10" t="n">
        <v>24</v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" customWidth="1" min="3" max="3"/>
    <col width="13" customWidth="1" min="4" max="4"/>
    <col width="12" customWidth="1" min="5" max="5"/>
    <col width="12" customWidth="1" min="6" max="6"/>
    <col width="12" customWidth="1" min="7" max="7"/>
    <col width="10" customWidth="1" min="8" max="8"/>
    <col width="11" customWidth="1" min="9" max="9"/>
    <col width="11" customWidth="1" min="10" max="10"/>
  </cols>
  <sheetData>
    <row r="1">
      <c r="A1" s="11" t="inlineStr">
        <is>
          <t>Дасгалын өгөгдөл — Sprint 1-ийн төлөвлөгөөнд тулгуурласан жишээ (docs/lab4.md, 4-р хэсэг). Өдрийг Sprint-ийн ажлын өдрөөр тоолов.</t>
        </is>
      </c>
    </row>
    <row r="3">
      <c r="A3" s="12" t="inlineStr">
        <is>
          <t>ID</t>
        </is>
      </c>
      <c r="B3" s="12" t="inlineStr">
        <is>
          <t>Нэр</t>
        </is>
      </c>
      <c r="C3" s="12" t="inlineStr">
        <is>
          <t>SP</t>
        </is>
      </c>
      <c r="D3" s="12" t="inlineStr">
        <is>
          <t>Хариуцагч</t>
        </is>
      </c>
      <c r="E3" s="12" t="inlineStr">
        <is>
          <t>Үүссэн</t>
        </is>
      </c>
      <c r="F3" s="12" t="inlineStr">
        <is>
          <t>Эхэлсэн</t>
        </is>
      </c>
      <c r="G3" s="12" t="inlineStr">
        <is>
          <t>Дууссан</t>
        </is>
      </c>
      <c r="H3" s="12" t="inlineStr">
        <is>
          <t>Хүлээлт</t>
        </is>
      </c>
      <c r="I3" s="12" t="inlineStr">
        <is>
          <t>Cycle time</t>
        </is>
      </c>
      <c r="J3" s="12" t="inlineStr">
        <is>
          <t>Lead time</t>
        </is>
      </c>
    </row>
    <row r="4">
      <c r="A4" t="inlineStr">
        <is>
          <t>US-01</t>
        </is>
      </c>
      <c r="B4" t="inlineStr">
        <is>
          <t>Gmail-ээр нэвтрэх</t>
        </is>
      </c>
      <c r="C4" t="n">
        <v>3</v>
      </c>
      <c r="D4" t="inlineStr">
        <is>
          <t>Д.Ууганбаяр</t>
        </is>
      </c>
      <c r="E4" t="n">
        <v>1</v>
      </c>
      <c r="F4" t="n">
        <v>1</v>
      </c>
      <c r="G4" t="n">
        <v>3</v>
      </c>
      <c r="H4">
        <f>IF(F4="","",F4-E4)</f>
        <v/>
      </c>
      <c r="I4">
        <f>IF(G4="","",G4-F4+1)</f>
        <v/>
      </c>
      <c r="J4">
        <f>IF(G4="","",G4-E4+1)</f>
        <v/>
      </c>
    </row>
    <row r="5">
      <c r="A5" t="inlineStr">
        <is>
          <t>US-02</t>
        </is>
      </c>
      <c r="B5" t="inlineStr">
        <is>
          <t>Сууц бүртгэх</t>
        </is>
      </c>
      <c r="C5" t="n">
        <v>5</v>
      </c>
      <c r="D5" t="inlineStr">
        <is>
          <t>Ц.Номунзаяа</t>
        </is>
      </c>
      <c r="E5" t="n">
        <v>1</v>
      </c>
      <c r="F5" t="n">
        <v>1</v>
      </c>
      <c r="G5" t="n">
        <v>4</v>
      </c>
      <c r="H5">
        <f>IF(F5="","",F5-E5)</f>
        <v/>
      </c>
      <c r="I5">
        <f>IF(G5="","",G5-F5+1)</f>
        <v/>
      </c>
      <c r="J5">
        <f>IF(G5="","",G5-E5+1)</f>
        <v/>
      </c>
    </row>
    <row r="6">
      <c r="A6" t="inlineStr">
        <is>
          <t>US-03</t>
        </is>
      </c>
      <c r="B6" t="inlineStr">
        <is>
          <t>Зогсоол бүртгэх</t>
        </is>
      </c>
      <c r="C6" t="n">
        <v>3</v>
      </c>
      <c r="D6" t="inlineStr">
        <is>
          <t>Д.Ууганбаяр</t>
        </is>
      </c>
      <c r="E6" t="n">
        <v>1</v>
      </c>
      <c r="F6" t="n">
        <v>3</v>
      </c>
      <c r="G6" t="n">
        <v>5</v>
      </c>
      <c r="H6">
        <f>IF(F6="","",F6-E6)</f>
        <v/>
      </c>
      <c r="I6">
        <f>IF(G6="","",G6-F6+1)</f>
        <v/>
      </c>
      <c r="J6">
        <f>IF(G6="","",G6-E6+1)</f>
        <v/>
      </c>
    </row>
    <row r="7">
      <c r="A7" t="inlineStr">
        <is>
          <t>US-04</t>
        </is>
      </c>
      <c r="B7" t="inlineStr">
        <is>
          <t>Машин бүртгүүлэх</t>
        </is>
      </c>
      <c r="C7" t="n">
        <v>3</v>
      </c>
      <c r="D7" t="inlineStr">
        <is>
          <t>Ц.Номунзаяа</t>
        </is>
      </c>
      <c r="E7" t="n">
        <v>1</v>
      </c>
      <c r="F7" t="n">
        <v>4</v>
      </c>
      <c r="G7" t="n">
        <v>7</v>
      </c>
      <c r="H7">
        <f>IF(F7="","",F7-E7)</f>
        <v/>
      </c>
      <c r="I7">
        <f>IF(G7="","",G7-F7+1)</f>
        <v/>
      </c>
      <c r="J7">
        <f>IF(G7="","",G7-E7+1)</f>
        <v/>
      </c>
    </row>
    <row r="8">
      <c r="A8" t="inlineStr">
        <is>
          <t>BUG-01</t>
        </is>
      </c>
      <c r="B8" t="inlineStr">
        <is>
          <t>Давхардсан сууц</t>
        </is>
      </c>
      <c r="D8" t="inlineStr">
        <is>
          <t>Ц.Номунзаяа</t>
        </is>
      </c>
      <c r="E8" t="n">
        <v>5</v>
      </c>
      <c r="F8" t="n">
        <v>7</v>
      </c>
      <c r="G8" t="n">
        <v>8</v>
      </c>
      <c r="H8">
        <f>IF(F8="","",F8-E8)</f>
        <v/>
      </c>
      <c r="I8">
        <f>IF(G8="","",G8-F8+1)</f>
        <v/>
      </c>
      <c r="J8">
        <f>IF(G8="","",G8-E8+1)</f>
        <v/>
      </c>
    </row>
    <row r="9">
      <c r="A9" t="inlineStr">
        <is>
          <t>US-06</t>
        </is>
      </c>
      <c r="B9" t="inlineStr">
        <is>
          <t>Түрээсийн хүсэлт</t>
        </is>
      </c>
      <c r="C9" t="n">
        <v>5</v>
      </c>
      <c r="D9" t="inlineStr">
        <is>
          <t>Д.Ууганбаяр</t>
        </is>
      </c>
      <c r="E9" t="n">
        <v>1</v>
      </c>
      <c r="F9" t="n">
        <v>5</v>
      </c>
      <c r="G9" t="n">
        <v>9</v>
      </c>
      <c r="H9">
        <f>IF(F9="","",F9-E9)</f>
        <v/>
      </c>
      <c r="I9">
        <f>IF(G9="","",G9-F9+1)</f>
        <v/>
      </c>
      <c r="J9">
        <f>IF(G9="","",G9-E9+1)</f>
        <v/>
      </c>
    </row>
    <row r="10">
      <c r="A10" t="inlineStr">
        <is>
          <t>US-05</t>
        </is>
      </c>
      <c r="B10" t="inlineStr">
        <is>
          <t>Машин батлах</t>
        </is>
      </c>
      <c r="C10" t="n">
        <v>2</v>
      </c>
      <c r="D10" t="inlineStr">
        <is>
          <t>Ц.Номунзаяа</t>
        </is>
      </c>
      <c r="E10" t="n">
        <v>1</v>
      </c>
      <c r="F10" t="n">
        <v>8</v>
      </c>
      <c r="G10" t="n">
        <v>10</v>
      </c>
      <c r="H10">
        <f>IF(F10="","",F10-E10)</f>
        <v/>
      </c>
      <c r="I10">
        <f>IF(G10="","",G10-F10+1)</f>
        <v/>
      </c>
      <c r="J10">
        <f>IF(G10="","",G10-E10+1)</f>
        <v/>
      </c>
    </row>
    <row r="11">
      <c r="A11" t="inlineStr">
        <is>
          <t>US-07</t>
        </is>
      </c>
      <c r="B11" t="inlineStr">
        <is>
          <t>Дарааллаа харах</t>
        </is>
      </c>
      <c r="C11" t="n">
        <v>1</v>
      </c>
      <c r="D11" t="inlineStr">
        <is>
          <t>Д.Ууганбаяр</t>
        </is>
      </c>
      <c r="E11" t="n">
        <v>1</v>
      </c>
      <c r="F11" t="n">
        <v>9</v>
      </c>
      <c r="H11">
        <f>IF(F11="","",F11-E11)</f>
        <v/>
      </c>
      <c r="I11">
        <f>IF(G11="","",G11-F11+1)</f>
        <v/>
      </c>
      <c r="J11">
        <f>IF(G11="","",G11-E11+1)</f>
        <v/>
      </c>
    </row>
    <row r="13">
      <c r="A13" s="8" t="inlineStr">
        <is>
          <t>Дундаж хүлээлт</t>
        </is>
      </c>
      <c r="J13">
        <f>ROUND(AVERAGE(H4:H11),1)</f>
        <v/>
      </c>
    </row>
    <row r="14">
      <c r="A14" s="8" t="inlineStr">
        <is>
          <t>Дундаж cycle time</t>
        </is>
      </c>
      <c r="J14">
        <f>ROUND(AVERAGE(I4:I11),1)</f>
        <v/>
      </c>
    </row>
    <row r="15">
      <c r="A15" s="8" t="inlineStr">
        <is>
          <t>Дундаж lead time</t>
        </is>
      </c>
      <c r="J15">
        <f>ROUND(AVERAGE(J4:J11),1)</f>
        <v/>
      </c>
    </row>
    <row r="16">
      <c r="A16" s="8" t="inlineStr">
        <is>
          <t>Throughput (өдөрт)</t>
        </is>
      </c>
      <c r="J16">
        <f>COUNT(G4:G11)/10</f>
        <v/>
      </c>
    </row>
    <row r="17">
      <c r="A17" s="8" t="inlineStr">
        <is>
          <t>Velocity (SP)</t>
        </is>
      </c>
      <c r="J17">
        <f>SUMIF(G4:G11,"&gt;0",C4:C11)</f>
        <v/>
      </c>
    </row>
    <row r="18">
      <c r="A18" s="8" t="inlineStr">
        <is>
          <t>Урсгалын үр ашиг</t>
        </is>
      </c>
      <c r="J18">
        <f>ROUND(SUM(I4:I11)/SUM(J4:J11),2)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" customWidth="1" min="3" max="3"/>
    <col width="13" customWidth="1" min="4" max="4"/>
    <col width="12" customWidth="1" min="5" max="5"/>
    <col width="12" customWidth="1" min="6" max="6"/>
    <col width="12" customWidth="1" min="7" max="7"/>
    <col width="10" customWidth="1" min="8" max="8"/>
    <col width="11" customWidth="1" min="9" max="9"/>
    <col width="11" customWidth="1" min="10" max="10"/>
  </cols>
  <sheetData>
    <row r="1">
      <c r="A1" s="11" t="inlineStr">
        <is>
          <t>Бодит хэмжилт — Үүссэн, Эхэлсэн, Дууссан баганад огноо бичихэд ажлын өдрөөр (NETWORKDAYS) автоматаар бодно.</t>
        </is>
      </c>
    </row>
    <row r="3">
      <c r="A3" s="12" t="inlineStr">
        <is>
          <t>ID</t>
        </is>
      </c>
      <c r="B3" s="12" t="inlineStr">
        <is>
          <t>Нэр</t>
        </is>
      </c>
      <c r="C3" s="12" t="inlineStr">
        <is>
          <t>SP</t>
        </is>
      </c>
      <c r="D3" s="12" t="inlineStr">
        <is>
          <t>Хариуцагч</t>
        </is>
      </c>
      <c r="E3" s="12" t="inlineStr">
        <is>
          <t>Үүссэн</t>
        </is>
      </c>
      <c r="F3" s="12" t="inlineStr">
        <is>
          <t>Эхэлсэн</t>
        </is>
      </c>
      <c r="G3" s="12" t="inlineStr">
        <is>
          <t>Дууссан</t>
        </is>
      </c>
      <c r="H3" s="12" t="inlineStr">
        <is>
          <t>Хүлээлт</t>
        </is>
      </c>
      <c r="I3" s="12" t="inlineStr">
        <is>
          <t>Cycle time</t>
        </is>
      </c>
      <c r="J3" s="12" t="inlineStr">
        <is>
          <t>Lead time</t>
        </is>
      </c>
    </row>
    <row r="4">
      <c r="A4" t="inlineStr">
        <is>
          <t>US-01</t>
        </is>
      </c>
      <c r="B4" t="inlineStr">
        <is>
          <t>Gmail-ээр нэвтрэх</t>
        </is>
      </c>
      <c r="C4" t="n">
        <v>3</v>
      </c>
      <c r="E4" s="13" t="n"/>
      <c r="F4" s="13" t="n"/>
      <c r="G4" s="13" t="n"/>
      <c r="H4">
        <f>IF(OR(E4="",F4=""),"",NETWORKDAYS(E4,F4)-1)</f>
        <v/>
      </c>
      <c r="I4">
        <f>IF(OR(F4="",G4=""),"",NETWORKDAYS(F4,G4))</f>
        <v/>
      </c>
      <c r="J4">
        <f>IF(OR(E4="",G4=""),"",NETWORKDAYS(E4,G4))</f>
        <v/>
      </c>
    </row>
    <row r="5">
      <c r="A5" t="inlineStr">
        <is>
          <t>US-02</t>
        </is>
      </c>
      <c r="B5" t="inlineStr">
        <is>
          <t>Сууц бүртгэх</t>
        </is>
      </c>
      <c r="C5" t="n">
        <v>5</v>
      </c>
      <c r="E5" s="13" t="n"/>
      <c r="F5" s="13" t="n"/>
      <c r="G5" s="13" t="n"/>
      <c r="H5">
        <f>IF(OR(E5="",F5=""),"",NETWORKDAYS(E5,F5)-1)</f>
        <v/>
      </c>
      <c r="I5">
        <f>IF(OR(F5="",G5=""),"",NETWORKDAYS(F5,G5))</f>
        <v/>
      </c>
      <c r="J5">
        <f>IF(OR(E5="",G5=""),"",NETWORKDAYS(E5,G5))</f>
        <v/>
      </c>
    </row>
    <row r="6">
      <c r="A6" t="inlineStr">
        <is>
          <t>US-03</t>
        </is>
      </c>
      <c r="B6" t="inlineStr">
        <is>
          <t>Зогсоол бүртгэх</t>
        </is>
      </c>
      <c r="C6" t="n">
        <v>3</v>
      </c>
      <c r="E6" s="13" t="n"/>
      <c r="F6" s="13" t="n"/>
      <c r="G6" s="13" t="n"/>
      <c r="H6">
        <f>IF(OR(E6="",F6=""),"",NETWORKDAYS(E6,F6)-1)</f>
        <v/>
      </c>
      <c r="I6">
        <f>IF(OR(F6="",G6=""),"",NETWORKDAYS(F6,G6))</f>
        <v/>
      </c>
      <c r="J6">
        <f>IF(OR(E6="",G6=""),"",NETWORKDAYS(E6,G6))</f>
        <v/>
      </c>
    </row>
    <row r="7">
      <c r="A7" t="inlineStr">
        <is>
          <t>US-04</t>
        </is>
      </c>
      <c r="B7" t="inlineStr">
        <is>
          <t>Машин бүртгүүлэх</t>
        </is>
      </c>
      <c r="C7" t="n">
        <v>3</v>
      </c>
      <c r="E7" s="13" t="n"/>
      <c r="F7" s="13" t="n"/>
      <c r="G7" s="13" t="n"/>
      <c r="H7">
        <f>IF(OR(E7="",F7=""),"",NETWORKDAYS(E7,F7)-1)</f>
        <v/>
      </c>
      <c r="I7">
        <f>IF(OR(F7="",G7=""),"",NETWORKDAYS(F7,G7))</f>
        <v/>
      </c>
      <c r="J7">
        <f>IF(OR(E7="",G7=""),"",NETWORKDAYS(E7,G7))</f>
        <v/>
      </c>
    </row>
    <row r="8">
      <c r="A8" t="inlineStr">
        <is>
          <t>US-05</t>
        </is>
      </c>
      <c r="B8" t="inlineStr">
        <is>
          <t>Машин батлах</t>
        </is>
      </c>
      <c r="C8" t="n">
        <v>2</v>
      </c>
      <c r="E8" s="13" t="n"/>
      <c r="F8" s="13" t="n"/>
      <c r="G8" s="13" t="n"/>
      <c r="H8">
        <f>IF(OR(E8="",F8=""),"",NETWORKDAYS(E8,F8)-1)</f>
        <v/>
      </c>
      <c r="I8">
        <f>IF(OR(F8="",G8=""),"",NETWORKDAYS(F8,G8))</f>
        <v/>
      </c>
      <c r="J8">
        <f>IF(OR(E8="",G8=""),"",NETWORKDAYS(E8,G8))</f>
        <v/>
      </c>
    </row>
    <row r="9">
      <c r="A9" t="inlineStr">
        <is>
          <t>US-06</t>
        </is>
      </c>
      <c r="B9" t="inlineStr">
        <is>
          <t>Түрээсийн хүсэлт</t>
        </is>
      </c>
      <c r="C9" t="n">
        <v>5</v>
      </c>
      <c r="E9" s="13" t="n"/>
      <c r="F9" s="13" t="n"/>
      <c r="G9" s="13" t="n"/>
      <c r="H9">
        <f>IF(OR(E9="",F9=""),"",NETWORKDAYS(E9,F9)-1)</f>
        <v/>
      </c>
      <c r="I9">
        <f>IF(OR(F9="",G9=""),"",NETWORKDAYS(F9,G9))</f>
        <v/>
      </c>
      <c r="J9">
        <f>IF(OR(E9="",G9=""),"",NETWORKDAYS(E9,G9))</f>
        <v/>
      </c>
    </row>
    <row r="10">
      <c r="A10" t="inlineStr">
        <is>
          <t>US-07</t>
        </is>
      </c>
      <c r="B10" t="inlineStr">
        <is>
          <t>Дарааллаа харах</t>
        </is>
      </c>
      <c r="C10" t="n">
        <v>1</v>
      </c>
      <c r="E10" s="13" t="n"/>
      <c r="F10" s="13" t="n"/>
      <c r="G10" s="13" t="n"/>
      <c r="H10">
        <f>IF(OR(E10="",F10=""),"",NETWORKDAYS(E10,F10)-1)</f>
        <v/>
      </c>
      <c r="I10">
        <f>IF(OR(F10="",G10=""),"",NETWORKDAYS(F10,G10))</f>
        <v/>
      </c>
      <c r="J10">
        <f>IF(OR(E10="",G10=""),"",NETWORKDAYS(E10,G10))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2026-09-23T03:51:29Z</dcterms:created>
  <dcterms:modified xmlns:dcterms="http://purl.org/dc/terms/" xmlns:xsi="http://www.w3.org/2001/XMLSchema-instance" xsi:type="dcterms:W3CDTF">2026-10-20T09:24:15Z</dcterms:modified>
</cp:coreProperties>
</file>